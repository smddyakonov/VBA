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90" yWindow="210" windowWidth="18180" windowHeight="7275"/>
  </bookViews>
  <sheets>
    <sheet name="Поручения" sheetId="2" r:id="rId1"/>
    <sheet name="Список почты" sheetId="3" r:id="rId2"/>
    <sheet name="Список расширений" sheetId="4" r:id="rId3"/>
  </sheets>
  <calcPr calcId="145621"/>
</workbook>
</file>

<file path=xl/calcChain.xml><?xml version="1.0" encoding="utf-8"?>
<calcChain xmlns="http://schemas.openxmlformats.org/spreadsheetml/2006/main">
  <c r="B7" i="2" l="1"/>
  <c r="F7" i="2"/>
  <c r="H7" i="2"/>
  <c r="P7" i="2" s="1"/>
  <c r="C2" i="3" l="1"/>
  <c r="H2" i="3" s="1"/>
  <c r="G2" i="3" l="1"/>
  <c r="E2" i="3" s="1"/>
  <c r="F2" i="3" l="1"/>
  <c r="D2" i="3" s="1"/>
  <c r="O7" i="2"/>
</calcChain>
</file>

<file path=xl/sharedStrings.xml><?xml version="1.0" encoding="utf-8"?>
<sst xmlns="http://schemas.openxmlformats.org/spreadsheetml/2006/main" count="59" uniqueCount="54">
  <si>
    <t>SendTo</t>
  </si>
  <si>
    <t>CopyTo</t>
  </si>
  <si>
    <t>BlindCopyTo</t>
  </si>
  <si>
    <t>Body</t>
  </si>
  <si>
    <t>Subject</t>
  </si>
  <si>
    <t>FilePth</t>
  </si>
  <si>
    <t>Отметка</t>
  </si>
  <si>
    <t>Тема</t>
  </si>
  <si>
    <t>Текст</t>
  </si>
  <si>
    <t>Копия</t>
  </si>
  <si>
    <t>Кому</t>
  </si>
  <si>
    <t>Скрытая копия</t>
  </si>
  <si>
    <t>Вложение</t>
  </si>
  <si>
    <t>Папка</t>
  </si>
  <si>
    <t>Файл</t>
  </si>
  <si>
    <t>Расширение</t>
  </si>
  <si>
    <t>.pdf</t>
  </si>
  <si>
    <t>№ п.п</t>
  </si>
  <si>
    <t>Выполнение</t>
  </si>
  <si>
    <t>.xls</t>
  </si>
  <si>
    <t>Проверка FilePth</t>
  </si>
  <si>
    <t>Подпись</t>
  </si>
  <si>
    <t>Почта</t>
  </si>
  <si>
    <t>Разделитель</t>
  </si>
  <si>
    <t>ФИО</t>
  </si>
  <si>
    <t>Приветствие</t>
  </si>
  <si>
    <t>.docx</t>
  </si>
  <si>
    <t>.xlsx</t>
  </si>
  <si>
    <t>.doc</t>
  </si>
  <si>
    <t>Благодаронсть</t>
  </si>
  <si>
    <t>Фамилия</t>
  </si>
  <si>
    <t>И.О.</t>
  </si>
  <si>
    <t>тест</t>
  </si>
  <si>
    <t>Заранее спасибо!</t>
  </si>
  <si>
    <t>Имя</t>
  </si>
  <si>
    <t>Отчество</t>
  </si>
  <si>
    <t>Добрый день</t>
  </si>
  <si>
    <t>______
С уважением ФИО
Компания
Тел.:
Е-маил:
Сайт:</t>
  </si>
  <si>
    <t>Фамилия Имя Отчество</t>
  </si>
  <si>
    <t>Позиция-1</t>
  </si>
  <si>
    <t>Позиция-2</t>
  </si>
  <si>
    <t>Тема письма</t>
  </si>
  <si>
    <t>Текст письма</t>
  </si>
  <si>
    <t>Для заметок</t>
  </si>
  <si>
    <t>name_e-mail@domen</t>
  </si>
  <si>
    <t>Вложение: Папка/Файл.Расширение</t>
  </si>
  <si>
    <t>2. Выделить колонки с 1 по 7</t>
  </si>
  <si>
    <t>3. Нажать кнопку "Отправить"</t>
  </si>
  <si>
    <t>5. Конец</t>
  </si>
  <si>
    <t>0. Заполнить лист "Список почты"</t>
  </si>
  <si>
    <t>Обращение</t>
  </si>
  <si>
    <t>1. Заполнить колонки: "Тема", "Кому", "Копия", "Скрытая копия", "Текст письма", "Вложение: Папка/Файл.Расширение", "Обращение"</t>
  </si>
  <si>
    <t>Отметка о репликации</t>
  </si>
  <si>
    <t>4. Если все удачно, то в колонке "Отметка о репликации" появится запись "Отправлено на репликацию…"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</si>
</sst>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1" applyAlignment="1"/>
    <xf numFmtId="0" fontId="0" fillId="0" borderId="0" xfId="0" applyAlignment="1"/>
    <xf numFmtId="0" fontId="3" fillId="0" borderId="0" xfId="0" applyFont="1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Font="1" applyAlignment="1"/>
    <xf numFmtId="0" fontId="1" fillId="0" borderId="0" xfId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/>
    <xf numFmtId="0" fontId="0" fillId="0" borderId="0" xfId="0" applyFont="1"/>
  </cellXfs>
  <cellStyles count="2">
    <cellStyle name="Гиперссылка" xfId="1" builtinId="8"/>
    <cellStyle name="Обычный" xfId="0" builtinId="0"/>
  </cellStyles>
  <dxfs count="5"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2190750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Отправить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6:P7" totalsRowShown="0">
  <autoFilter ref="A6:P7"/>
  <tableColumns count="16">
    <tableColumn id="1" name="Subject"/>
    <tableColumn id="2" name="Body" dataDxfId="1">
      <calculatedColumnFormula>CONCATENATE(I7,"    
",
$D$2)</calculatedColumnFormula>
    </tableColumn>
    <tableColumn id="3" name="SendTo"/>
    <tableColumn id="4" name="CopyTo"/>
    <tableColumn id="5" name="BlindCopyTo"/>
    <tableColumn id="6" name="FilePth" dataDxfId="4" dataCellStyle="Гиперссылка">
      <calculatedColumnFormula>IF(Таблица1[[#This Row],[Папка]]="","",HYPERLINK(CONCATENATE(J7,"\",K7,L7)))</calculatedColumnFormula>
    </tableColumn>
    <tableColumn id="7" name="Отметка"/>
    <tableColumn id="8" name="Разделитель" dataDxfId="3">
      <calculatedColumnFormula>ROW()-6</calculatedColumnFormula>
    </tableColumn>
    <tableColumn id="14" name="Текст" dataDxfId="2"/>
    <tableColumn id="9" name="Папка"/>
    <tableColumn id="10" name="Файл"/>
    <tableColumn id="11" name="Расширение"/>
    <tableColumn id="15" name="Проверка FilePth"/>
    <tableColumn id="12" name="Выполнение"/>
    <tableColumn id="16" name="И.О.">
      <calculatedColumnFormula>VLOOKUP(Таблица1[[#This Row],[SendTo]],'Список почты'!A:D,4,FALSE)</calculatedColumnFormula>
    </tableColumn>
    <tableColumn id="13" name="№ п.п">
      <calculatedColumnFormula>Таблица1[[#This Row],[Разделитель]]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Таблица6" displayName="Таблица6" ref="A1:H2" totalsRowShown="0">
  <autoFilter ref="A1:H2"/>
  <tableColumns count="8">
    <tableColumn id="1" name="Почта" dataCellStyle="Гиперссылка"/>
    <tableColumn id="2" name="ФИО"/>
    <tableColumn id="3" name="Фамилия">
      <calculatedColumnFormula>TRIM(LEFT(B2,FIND(" ",B2)))</calculatedColumnFormula>
    </tableColumn>
    <tableColumn id="4" name="И.О.">
      <calculatedColumnFormula>CONCATENATE(PROPER(E2)," ",PROPER(F2))</calculatedColumnFormula>
    </tableColumn>
    <tableColumn id="5" name="Имя">
      <calculatedColumnFormula>TRIM(LEFT(H2,G2))</calculatedColumnFormula>
    </tableColumn>
    <tableColumn id="6" name="Отчество">
      <calculatedColumnFormula>MID(H2,SEARCH(E2,H2)+LEN(E2)+1,LEN(H2))</calculatedColumnFormula>
    </tableColumn>
    <tableColumn id="7" name="Позиция-1">
      <calculatedColumnFormula>SEARCH(" ",H2)</calculatedColumnFormula>
    </tableColumn>
    <tableColumn id="8" name="Позиция-2">
      <calculatedColumnFormula>TRIM(MID(B2,LEN(C2)+1,LEN(B2)))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name_e-mail@dome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P16"/>
  <sheetViews>
    <sheetView tabSelected="1" zoomScaleNormal="100" workbookViewId="0">
      <pane xSplit="11625" topLeftCell="F1"/>
      <selection activeCell="A23" sqref="A23"/>
      <selection pane="topRight" activeCell="G5" sqref="G5"/>
    </sheetView>
  </sheetViews>
  <sheetFormatPr defaultRowHeight="15" x14ac:dyDescent="0.25"/>
  <cols>
    <col min="1" max="1" width="38.28515625" bestFit="1" customWidth="1"/>
    <col min="2" max="2" width="5.28515625" style="2" customWidth="1"/>
    <col min="3" max="3" width="34.28515625" bestFit="1" customWidth="1"/>
    <col min="4" max="4" width="29.140625" customWidth="1"/>
    <col min="5" max="5" width="5.85546875" customWidth="1"/>
    <col min="6" max="6" width="3.85546875" customWidth="1"/>
    <col min="7" max="7" width="45" bestFit="1" customWidth="1"/>
    <col min="8" max="8" width="4.7109375" customWidth="1"/>
    <col min="9" max="9" width="98.28515625" bestFit="1" customWidth="1"/>
    <col min="10" max="13" width="17.5703125" customWidth="1"/>
    <col min="14" max="14" width="34.5703125" bestFit="1" customWidth="1"/>
    <col min="15" max="15" width="34.5703125" customWidth="1"/>
    <col min="16" max="16" width="5.140625" customWidth="1"/>
    <col min="17" max="17" width="99.42578125" bestFit="1" customWidth="1"/>
    <col min="18" max="18" width="35.5703125" bestFit="1" customWidth="1"/>
    <col min="19" max="19" width="15.7109375" bestFit="1" customWidth="1"/>
    <col min="20" max="20" width="34.5703125" bestFit="1" customWidth="1"/>
    <col min="21" max="21" width="19.140625" bestFit="1" customWidth="1"/>
  </cols>
  <sheetData>
    <row r="1" spans="1:16" x14ac:dyDescent="0.25">
      <c r="C1" s="3" t="s">
        <v>25</v>
      </c>
      <c r="D1" s="2" t="s">
        <v>36</v>
      </c>
    </row>
    <row r="2" spans="1:16" x14ac:dyDescent="0.25">
      <c r="C2" s="3" t="s">
        <v>21</v>
      </c>
      <c r="D2" s="6" t="s">
        <v>37</v>
      </c>
    </row>
    <row r="3" spans="1:16" x14ac:dyDescent="0.25">
      <c r="C3" s="3" t="s">
        <v>29</v>
      </c>
      <c r="D3" s="2" t="s">
        <v>33</v>
      </c>
    </row>
    <row r="4" spans="1:16" x14ac:dyDescent="0.25">
      <c r="A4" s="9">
        <v>1</v>
      </c>
      <c r="B4" s="10">
        <v>2</v>
      </c>
      <c r="C4" s="9">
        <v>3</v>
      </c>
      <c r="D4" s="10">
        <v>4</v>
      </c>
      <c r="E4" s="9">
        <v>5</v>
      </c>
      <c r="F4" s="10">
        <v>6</v>
      </c>
      <c r="G4" s="9">
        <v>7</v>
      </c>
      <c r="H4" s="10">
        <v>8</v>
      </c>
      <c r="I4" s="9">
        <v>9</v>
      </c>
      <c r="J4" s="10">
        <v>10</v>
      </c>
      <c r="K4" s="9">
        <v>11</v>
      </c>
      <c r="L4" s="10">
        <v>12</v>
      </c>
      <c r="M4" s="9">
        <v>13</v>
      </c>
      <c r="N4" s="10">
        <v>14</v>
      </c>
      <c r="O4" s="9">
        <v>15</v>
      </c>
      <c r="P4" s="10">
        <v>16</v>
      </c>
    </row>
    <row r="5" spans="1:16" x14ac:dyDescent="0.25">
      <c r="A5" t="s">
        <v>7</v>
      </c>
      <c r="B5" s="2" t="s">
        <v>8</v>
      </c>
      <c r="C5" t="s">
        <v>10</v>
      </c>
      <c r="D5" t="s">
        <v>9</v>
      </c>
      <c r="E5" t="s">
        <v>11</v>
      </c>
      <c r="F5" t="s">
        <v>12</v>
      </c>
      <c r="G5" t="s">
        <v>52</v>
      </c>
      <c r="I5" t="s">
        <v>42</v>
      </c>
      <c r="J5" s="8" t="s">
        <v>45</v>
      </c>
      <c r="K5" s="8"/>
      <c r="L5" s="8"/>
      <c r="M5" t="s">
        <v>43</v>
      </c>
      <c r="N5" t="s">
        <v>43</v>
      </c>
      <c r="O5" t="s">
        <v>50</v>
      </c>
    </row>
    <row r="6" spans="1:16" x14ac:dyDescent="0.25">
      <c r="A6" t="s">
        <v>4</v>
      </c>
      <c r="B6" s="2" t="s">
        <v>3</v>
      </c>
      <c r="C6" t="s">
        <v>0</v>
      </c>
      <c r="D6" t="s">
        <v>1</v>
      </c>
      <c r="E6" t="s">
        <v>2</v>
      </c>
      <c r="F6" t="s">
        <v>5</v>
      </c>
      <c r="G6" t="s">
        <v>6</v>
      </c>
      <c r="H6" t="s">
        <v>23</v>
      </c>
      <c r="I6" t="s">
        <v>8</v>
      </c>
      <c r="J6" t="s">
        <v>13</v>
      </c>
      <c r="K6" t="s">
        <v>14</v>
      </c>
      <c r="L6" t="s">
        <v>15</v>
      </c>
      <c r="M6" t="s">
        <v>20</v>
      </c>
      <c r="N6" t="s">
        <v>18</v>
      </c>
      <c r="O6" t="s">
        <v>31</v>
      </c>
      <c r="P6" t="s">
        <v>17</v>
      </c>
    </row>
    <row r="7" spans="1:16" x14ac:dyDescent="0.25">
      <c r="A7" t="s">
        <v>41</v>
      </c>
      <c r="B7" s="2" t="str">
        <f>CONCATENATE(I7)</f>
        <v>тест</v>
      </c>
      <c r="C7" t="s">
        <v>44</v>
      </c>
      <c r="F7" s="1" t="str">
        <f>IF(Таблица1[[#This Row],[Папка]]="","",HYPERLINK(CONCATENATE(J7,"\",K7,L7)))</f>
        <v/>
      </c>
      <c r="H7" s="4">
        <f>ROW()-6</f>
        <v>1</v>
      </c>
      <c r="I7" s="5" t="s">
        <v>32</v>
      </c>
      <c r="O7" t="str">
        <f>VLOOKUP(Таблица1[[#This Row],[SendTo]],'Список почты'!A:D,4,FALSE)</f>
        <v>Имя Отчество</v>
      </c>
      <c r="P7">
        <f>Таблица1[[#This Row],[Разделитель]]</f>
        <v>1</v>
      </c>
    </row>
    <row r="11" spans="1:16" x14ac:dyDescent="0.25">
      <c r="A11" t="s">
        <v>49</v>
      </c>
    </row>
    <row r="12" spans="1:16" x14ac:dyDescent="0.25">
      <c r="A12" s="11" t="s">
        <v>51</v>
      </c>
    </row>
    <row r="13" spans="1:16" x14ac:dyDescent="0.25">
      <c r="A13" t="s">
        <v>46</v>
      </c>
    </row>
    <row r="14" spans="1:16" x14ac:dyDescent="0.25">
      <c r="A14" t="s">
        <v>47</v>
      </c>
    </row>
    <row r="15" spans="1:16" x14ac:dyDescent="0.25">
      <c r="A15" t="s">
        <v>53</v>
      </c>
    </row>
    <row r="16" spans="1:16" x14ac:dyDescent="0.25">
      <c r="A16" t="s">
        <v>48</v>
      </c>
    </row>
  </sheetData>
  <mergeCells count="1">
    <mergeCell ref="J5:L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ndEmailsFromSelection_Solver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2190750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'Список расширений'!$A:$A</xm:f>
          </x14:formula1>
          <xm:sqref>L7</xm:sqref>
        </x14:dataValidation>
        <x14:dataValidation type="list" allowBlank="1" showInputMessage="1" showErrorMessage="1">
          <x14:formula1>
            <xm:f>'Список почты'!$A:$A</xm:f>
          </x14:formula1>
          <xm:sqref>C7:E7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2"/>
  <sheetViews>
    <sheetView workbookViewId="0">
      <selection activeCell="B12" sqref="B12"/>
    </sheetView>
  </sheetViews>
  <sheetFormatPr defaultRowHeight="15" x14ac:dyDescent="0.25"/>
  <cols>
    <col min="1" max="1" width="34.28515625" bestFit="1" customWidth="1"/>
    <col min="2" max="2" width="31.5703125" bestFit="1" customWidth="1"/>
    <col min="3" max="3" width="13.28515625" bestFit="1" customWidth="1"/>
    <col min="4" max="4" width="23.7109375" bestFit="1" customWidth="1"/>
    <col min="5" max="5" width="9.42578125" bestFit="1" customWidth="1"/>
    <col min="6" max="6" width="14.7109375" bestFit="1" customWidth="1"/>
    <col min="7" max="7" width="12.5703125" customWidth="1"/>
    <col min="8" max="8" width="23.7109375" bestFit="1" customWidth="1"/>
  </cols>
  <sheetData>
    <row r="1" spans="1:8" x14ac:dyDescent="0.25">
      <c r="A1" t="s">
        <v>22</v>
      </c>
      <c r="B1" t="s">
        <v>24</v>
      </c>
      <c r="C1" t="s">
        <v>30</v>
      </c>
      <c r="D1" t="s">
        <v>31</v>
      </c>
      <c r="E1" t="s">
        <v>34</v>
      </c>
      <c r="F1" t="s">
        <v>35</v>
      </c>
      <c r="G1" t="s">
        <v>39</v>
      </c>
      <c r="H1" t="s">
        <v>40</v>
      </c>
    </row>
    <row r="2" spans="1:8" x14ac:dyDescent="0.25">
      <c r="A2" s="7" t="s">
        <v>44</v>
      </c>
      <c r="B2" t="s">
        <v>38</v>
      </c>
      <c r="C2" t="str">
        <f>TRIM(LEFT(B2,FIND(" ",B2)))</f>
        <v>Фамилия</v>
      </c>
      <c r="D2" t="str">
        <f>CONCATENATE(PROPER(E2)," ",PROPER(F2))</f>
        <v>Имя Отчество</v>
      </c>
      <c r="E2" t="str">
        <f>TRIM(LEFT(H2,G2))</f>
        <v>Имя</v>
      </c>
      <c r="F2" t="str">
        <f>MID(H2,SEARCH(E2,H2)+LEN(E2)+1,LEN(H2))</f>
        <v>Отчество</v>
      </c>
      <c r="G2">
        <f>SEARCH(" ",H2)</f>
        <v>4</v>
      </c>
      <c r="H2" t="str">
        <f>TRIM(MID(B2,LEN(C2)+1,LEN(B2)))</f>
        <v>Имя Отчество</v>
      </c>
    </row>
  </sheetData>
  <conditionalFormatting sqref="A1:A1048576">
    <cfRule type="duplicateValues" dxfId="0" priority="1"/>
  </conditionalFormatting>
  <hyperlinks>
    <hyperlink ref="A2" r:id="rId1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6"/>
  <sheetViews>
    <sheetView workbookViewId="0">
      <selection activeCell="J21" sqref="J21"/>
    </sheetView>
  </sheetViews>
  <sheetFormatPr defaultRowHeight="15" x14ac:dyDescent="0.25"/>
  <cols>
    <col min="1" max="1" width="12.42578125" bestFit="1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19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Поручения</vt:lpstr>
      <vt:lpstr>Список почты</vt:lpstr>
      <vt:lpstr>Список расширений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Дьяконов Семен Григорьевич</dc:creator>
  <cp:lastModifiedBy>Дьяконов Семен Григорьевич</cp:lastModifiedBy>
  <dcterms:created xsi:type="dcterms:W3CDTF">2023-11-15T11:05:42Z</dcterms:created>
  <dcterms:modified xsi:type="dcterms:W3CDTF">2023-12-05T07:44:50Z</dcterms:modified>
</cp:coreProperties>
</file>